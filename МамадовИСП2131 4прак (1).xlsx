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исп2131\Мамадов\"/>
    </mc:Choice>
  </mc:AlternateContent>
  <bookViews>
    <workbookView xWindow="0" yWindow="0" windowWidth="16860" windowHeight="90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7" i="1" l="1"/>
  <c r="D7" i="1"/>
  <c r="E7" i="1"/>
  <c r="F7" i="1"/>
  <c r="B11" i="1"/>
  <c r="B10" i="1"/>
  <c r="E3" i="1"/>
  <c r="E4" i="1"/>
  <c r="E5" i="1"/>
  <c r="E6" i="1"/>
  <c r="F6" i="1" s="1"/>
  <c r="E2" i="1"/>
  <c r="L2" i="1"/>
  <c r="M2" i="1"/>
  <c r="K2" i="1"/>
  <c r="J3" i="1"/>
  <c r="J4" i="1"/>
  <c r="J5" i="1"/>
  <c r="J6" i="1"/>
  <c r="J2" i="1"/>
  <c r="D3" i="1"/>
  <c r="F3" i="1" s="1"/>
  <c r="D4" i="1"/>
  <c r="F4" i="1" s="1"/>
  <c r="D5" i="1"/>
  <c r="D6" i="1"/>
  <c r="F5" i="1"/>
  <c r="F2" i="1"/>
  <c r="D2" i="1"/>
</calcChain>
</file>

<file path=xl/sharedStrings.xml><?xml version="1.0" encoding="utf-8"?>
<sst xmlns="http://schemas.openxmlformats.org/spreadsheetml/2006/main" count="44" uniqueCount="19">
  <si>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</si>
  <si>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</si>
  <si>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</si>
  <si>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</si>
  <si>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</si>
  <si>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</si>
  <si>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</si>
  <si>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</si>
  <si>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</si>
  <si>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</si>
  <si>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</si>
  <si>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</si>
  <si>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НДФЛ:</t>
  </si>
  <si>
    <t>Коэффициет:</t>
  </si>
  <si>
    <t>ИТОГО:</t>
  </si>
  <si>
    <t>Средняя зарплата:</t>
  </si>
  <si>
    <t>Максимум:</t>
  </si>
  <si>
    <t>Минимум:</t>
  </si>
  <si>
    <t>асмо :з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</si>
</sst>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Font="1" applyBorder="1" applyAlignment="1">
      <alignment wrapText="1"/>
    </xf>
    <xf numFmtId="0" fontId="0" fillId="0" borderId="1" xfId="0" applyFont="1" applyBorder="1"/>
    <xf numFmtId="3" fontId="0" fillId="0" borderId="1" xfId="0" applyNumberFormat="1" applyFont="1" applyBorder="1"/>
    <xf numFmtId="0" fontId="0" fillId="3" borderId="1" xfId="0" applyFont="1" applyFill="1" applyBorder="1"/>
    <xf numFmtId="0" fontId="0" fillId="0" borderId="4" xfId="0" applyFont="1" applyBorder="1"/>
    <xf numFmtId="0" fontId="0" fillId="0" borderId="0" xfId="0" applyFont="1"/>
    <xf numFmtId="3" fontId="0" fillId="0" borderId="0" xfId="0" applyNumberFormat="1" applyFont="1"/>
    <xf numFmtId="3" fontId="0" fillId="0" borderId="2" xfId="0" applyNumberFormat="1" applyFont="1" applyBorder="1"/>
    <xf numFmtId="0" fontId="2" fillId="4" borderId="1" xfId="0" applyFont="1" applyFill="1" applyBorder="1" applyAlignment="1">
      <alignment horizontal="left" vertical="center" wrapText="1" indent="1"/>
    </xf>
    <xf numFmtId="164" fontId="2" fillId="4" borderId="1" xfId="1" applyNumberFormat="1" applyFont="1" applyFill="1" applyBorder="1" applyAlignment="1">
      <alignment horizontal="left" vertical="center" wrapText="1" indent="1"/>
    </xf>
    <xf numFmtId="164" fontId="3" fillId="2" borderId="1" xfId="1" applyNumberFormat="1" applyFont="1" applyFill="1" applyBorder="1" applyAlignment="1">
      <alignment horizontal="left" vertical="center" wrapText="1" indent="1"/>
    </xf>
    <xf numFmtId="0" fontId="3" fillId="0" borderId="1" xfId="0" applyFont="1" applyBorder="1"/>
    <xf numFmtId="0" fontId="3" fillId="2" borderId="1" xfId="0" applyFont="1" applyFill="1" applyBorder="1" applyAlignment="1">
      <alignment horizontal="left" vertical="center" wrapText="1" indent="1"/>
    </xf>
    <xf numFmtId="3" fontId="3" fillId="2" borderId="1" xfId="0" applyNumberFormat="1" applyFont="1" applyFill="1" applyBorder="1" applyAlignment="1">
      <alignment horizontal="left" vertical="center" wrapText="1" indent="1"/>
    </xf>
    <xf numFmtId="3" fontId="3" fillId="0" borderId="1" xfId="0" applyNumberFormat="1" applyFont="1" applyBorder="1"/>
    <xf numFmtId="0" fontId="3" fillId="0" borderId="2" xfId="0" applyFont="1" applyBorder="1"/>
    <xf numFmtId="0" fontId="3" fillId="2" borderId="3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="130" zoomScaleNormal="130" workbookViewId="0">
      <selection activeCell="B1" sqref="B1:B1048576"/>
    </sheetView>
  </sheetViews>
  <sheetFormatPr defaultRowHeight="14.4" x14ac:dyDescent="0.3"/>
  <cols>
    <col min="1" max="1" width="17.88671875" customWidth="1"/>
    <col min="2" max="2" width="15.5546875" customWidth="1"/>
    <col min="3" max="3" width="15.88671875" customWidth="1"/>
    <col min="4" max="4" width="16.21875" customWidth="1"/>
    <col min="5" max="5" width="13.5546875" customWidth="1"/>
    <col min="6" max="6" width="11.21875" customWidth="1"/>
    <col min="7" max="7" width="10.109375" customWidth="1"/>
    <col min="8" max="8" width="13.77734375" customWidth="1"/>
    <col min="9" max="9" width="12.88671875" bestFit="1" customWidth="1"/>
    <col min="10" max="12" width="9" bestFit="1" customWidth="1"/>
    <col min="13" max="13" width="10" bestFit="1" customWidth="1"/>
  </cols>
  <sheetData>
    <row r="1" spans="1:13" ht="24.6" customHeight="1" x14ac:dyDescent="0.3">
      <c r="A1" s="9" t="s">
        <v>0</v>
      </c>
      <c r="B1" s="10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1" t="s">
        <v>11</v>
      </c>
      <c r="H1" s="12" t="s">
        <v>12</v>
      </c>
      <c r="I1" s="1" t="s">
        <v>13</v>
      </c>
      <c r="J1" s="2"/>
      <c r="K1" s="2"/>
      <c r="L1" s="2"/>
      <c r="M1" s="2"/>
    </row>
    <row r="2" spans="1:13" x14ac:dyDescent="0.3">
      <c r="A2" s="13" t="s">
        <v>6</v>
      </c>
      <c r="B2" s="14">
        <v>50000</v>
      </c>
      <c r="C2" s="13">
        <v>20</v>
      </c>
      <c r="D2" s="2">
        <f>B2*C2/100</f>
        <v>10000</v>
      </c>
      <c r="E2" s="2">
        <f>(B2+D2)*0.13</f>
        <v>7800</v>
      </c>
      <c r="F2" s="3">
        <f>B2+D2-E2</f>
        <v>52200</v>
      </c>
      <c r="G2" s="2">
        <v>1</v>
      </c>
      <c r="H2" s="4">
        <v>0.15</v>
      </c>
      <c r="I2" s="2">
        <v>1.5</v>
      </c>
      <c r="J2" s="2">
        <f>B2*$I$2</f>
        <v>75000</v>
      </c>
      <c r="K2" s="2">
        <f>B2*I$2</f>
        <v>75000</v>
      </c>
      <c r="L2" s="2">
        <f t="shared" ref="L2:M2" si="0">C2*J$2</f>
        <v>1500000</v>
      </c>
      <c r="M2" s="2">
        <f t="shared" si="0"/>
        <v>750000000</v>
      </c>
    </row>
    <row r="3" spans="1:13" x14ac:dyDescent="0.3">
      <c r="A3" s="13" t="s">
        <v>7</v>
      </c>
      <c r="B3" s="14">
        <v>45000</v>
      </c>
      <c r="C3" s="13">
        <v>15</v>
      </c>
      <c r="D3" s="2">
        <f t="shared" ref="D3:D6" si="1">B3*C3/100</f>
        <v>6750</v>
      </c>
      <c r="E3" s="2">
        <f t="shared" ref="E3:E6" si="2">(B3+D3)*0.13</f>
        <v>6727.5</v>
      </c>
      <c r="F3" s="3">
        <f t="shared" ref="F3:F6" si="3">B3+D3-E3</f>
        <v>45022.5</v>
      </c>
      <c r="G3" s="2">
        <v>2</v>
      </c>
      <c r="H3" s="2"/>
      <c r="I3" s="2"/>
      <c r="J3" s="2">
        <f t="shared" ref="J3:J6" si="4">B3*$I$2</f>
        <v>67500</v>
      </c>
      <c r="K3" s="2"/>
      <c r="L3" s="2"/>
      <c r="M3" s="2"/>
    </row>
    <row r="4" spans="1:13" x14ac:dyDescent="0.3">
      <c r="A4" s="13" t="s">
        <v>8</v>
      </c>
      <c r="B4" s="14">
        <v>62000</v>
      </c>
      <c r="C4" s="13">
        <v>25</v>
      </c>
      <c r="D4" s="2">
        <f t="shared" si="1"/>
        <v>15500</v>
      </c>
      <c r="E4" s="2">
        <f t="shared" si="2"/>
        <v>10075</v>
      </c>
      <c r="F4" s="3">
        <f t="shared" si="3"/>
        <v>67425</v>
      </c>
      <c r="G4" s="2">
        <v>3</v>
      </c>
      <c r="H4" s="2"/>
      <c r="I4" s="2"/>
      <c r="J4" s="2">
        <f t="shared" si="4"/>
        <v>93000</v>
      </c>
      <c r="K4" s="2"/>
      <c r="L4" s="2"/>
      <c r="M4" s="2"/>
    </row>
    <row r="5" spans="1:13" ht="28.8" x14ac:dyDescent="0.3">
      <c r="A5" s="13" t="s">
        <v>9</v>
      </c>
      <c r="B5" s="14">
        <v>55000</v>
      </c>
      <c r="C5" s="13">
        <v>10</v>
      </c>
      <c r="D5" s="2">
        <f t="shared" si="1"/>
        <v>5500</v>
      </c>
      <c r="E5" s="2">
        <f t="shared" si="2"/>
        <v>7865</v>
      </c>
      <c r="F5" s="3">
        <f t="shared" si="3"/>
        <v>52635</v>
      </c>
      <c r="G5" s="2">
        <v>4</v>
      </c>
      <c r="H5" s="2"/>
      <c r="I5" s="2"/>
      <c r="J5" s="2">
        <f t="shared" si="4"/>
        <v>82500</v>
      </c>
      <c r="K5" s="2"/>
      <c r="L5" s="2"/>
      <c r="M5" s="2"/>
    </row>
    <row r="6" spans="1:13" x14ac:dyDescent="0.3">
      <c r="A6" s="13" t="s">
        <v>10</v>
      </c>
      <c r="B6" s="14">
        <v>40000</v>
      </c>
      <c r="C6" s="13">
        <v>30</v>
      </c>
      <c r="D6" s="2">
        <f t="shared" si="1"/>
        <v>12000</v>
      </c>
      <c r="E6" s="2">
        <f t="shared" si="2"/>
        <v>6760</v>
      </c>
      <c r="F6" s="3">
        <f t="shared" si="3"/>
        <v>45240</v>
      </c>
      <c r="G6" s="2">
        <v>5</v>
      </c>
      <c r="H6" s="2"/>
      <c r="I6" s="2"/>
      <c r="J6" s="2">
        <f t="shared" si="4"/>
        <v>60000</v>
      </c>
      <c r="K6" s="2"/>
      <c r="L6" s="2"/>
      <c r="M6" s="2"/>
    </row>
    <row r="7" spans="1:13" x14ac:dyDescent="0.3">
      <c r="A7" s="13" t="s">
        <v>14</v>
      </c>
      <c r="B7" s="15">
        <f>SUM(B2:B6)</f>
        <v>252000</v>
      </c>
      <c r="C7" s="15"/>
      <c r="D7" s="15">
        <f t="shared" ref="D7:F7" si="5">SUM(D2:D6)</f>
        <v>49750</v>
      </c>
      <c r="E7" s="15">
        <f t="shared" si="5"/>
        <v>39227.5</v>
      </c>
      <c r="F7" s="15">
        <f t="shared" si="5"/>
        <v>262522.5</v>
      </c>
      <c r="G7" s="2"/>
      <c r="H7" s="2"/>
      <c r="I7" s="2"/>
      <c r="J7" s="2"/>
      <c r="K7" s="2"/>
      <c r="L7" s="2"/>
      <c r="M7" s="2"/>
    </row>
    <row r="8" spans="1:13" x14ac:dyDescent="0.3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16" t="s">
        <v>15</v>
      </c>
      <c r="B9" s="7">
        <f>AVERAGE(F2:F6)</f>
        <v>52504.5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17" t="s">
        <v>16</v>
      </c>
      <c r="B10" s="8">
        <f>MAX(F2:F6)</f>
        <v>67425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18" t="s">
        <v>17</v>
      </c>
      <c r="B11" s="7">
        <f>MIN(F2:F6)</f>
        <v>45022.5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00" spans="1:26" x14ac:dyDescent="0.3">
      <c r="A100" t="s">
        <v>18</v>
      </c>
      <c r="B100" t="s">
        <v>18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  <c r="V100" t="s">
        <v>18</v>
      </c>
      <c r="W100" t="s">
        <v>18</v>
      </c>
      <c r="X100" t="s">
        <v>18</v>
      </c>
      <c r="Y100" t="s">
        <v>18</v>
      </c>
      <c r="Z100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2026-09-16T08:27:09Z</dcterms:created>
  <dcterms:modified xsi:type="dcterms:W3CDTF">2026-09-16T09:28:17Z</dcterms:modified>
</cp:coreProperties>
</file>